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ovito-trader\"/>
    </mc:Choice>
  </mc:AlternateContent>
  <xr:revisionPtr revIDLastSave="0" documentId="8_{7F2E9648-CF67-44F5-A96E-81CF55FD5604}" xr6:coauthVersionLast="47" xr6:coauthVersionMax="47" xr10:uidLastSave="{00000000-0000-0000-0000-000000000000}"/>
  <bookViews>
    <workbookView xWindow="-110" yWindow="-110" windowWidth="29020" windowHeight="17500" activeTab="1" xr2:uid="{00000000-000D-0000-FFFF-FFFF00000000}"/>
  </bookViews>
  <sheets>
    <sheet name="Investors" sheetId="1" r:id="rId1"/>
    <sheet name="Daily NAV" sheetId="2" r:id="rId2"/>
    <sheet name="Transactions" sheetId="3" r:id="rId3"/>
    <sheet name="Tax Tracker" sheetId="4" r:id="rId4"/>
    <sheet name="Portfolio Snapshot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G6" i="3"/>
  <c r="G7" i="3"/>
  <c r="G8" i="3"/>
  <c r="G9" i="3"/>
  <c r="G5" i="3"/>
  <c r="B15" i="5" l="1"/>
  <c r="A15" i="5"/>
  <c r="B14" i="5"/>
  <c r="A14" i="5"/>
  <c r="B13" i="5"/>
  <c r="A13" i="5"/>
  <c r="B12" i="5"/>
  <c r="A12" i="5"/>
  <c r="B11" i="5"/>
  <c r="A11" i="5"/>
  <c r="B6" i="5"/>
  <c r="B5" i="5"/>
  <c r="B4" i="5"/>
  <c r="B3" i="2"/>
  <c r="H9" i="1"/>
  <c r="I9" i="1" s="1"/>
  <c r="D9" i="1"/>
  <c r="H8" i="1"/>
  <c r="I8" i="1" s="1"/>
  <c r="D8" i="1"/>
  <c r="H7" i="1"/>
  <c r="I7" i="1" s="1"/>
  <c r="D7" i="1"/>
  <c r="H6" i="1"/>
  <c r="I6" i="1" s="1"/>
  <c r="D6" i="1"/>
  <c r="H5" i="1"/>
  <c r="I5" i="1" s="1"/>
  <c r="D5" i="1"/>
  <c r="B16" i="5" l="1"/>
  <c r="C15" i="5"/>
  <c r="J9" i="1"/>
  <c r="M9" i="1"/>
  <c r="E15" i="5" s="1"/>
  <c r="M6" i="1"/>
  <c r="E12" i="5" s="1"/>
  <c r="C12" i="5"/>
  <c r="J6" i="1"/>
  <c r="M7" i="1"/>
  <c r="E13" i="5" s="1"/>
  <c r="C13" i="5"/>
  <c r="J7" i="1"/>
  <c r="M5" i="1"/>
  <c r="E11" i="5" s="1"/>
  <c r="J5" i="1"/>
  <c r="C11" i="5"/>
  <c r="C14" i="5"/>
  <c r="M8" i="1"/>
  <c r="E14" i="5" s="1"/>
  <c r="J8" i="1"/>
  <c r="C16" i="5" l="1"/>
  <c r="E16" i="5"/>
  <c r="F14" i="5"/>
  <c r="K8" i="1"/>
  <c r="L8" i="1" s="1"/>
  <c r="D14" i="5" s="1"/>
  <c r="K7" i="1"/>
  <c r="L7" i="1" s="1"/>
  <c r="D13" i="5" s="1"/>
  <c r="F13" i="5"/>
  <c r="F15" i="5"/>
  <c r="K9" i="1"/>
  <c r="L9" i="1" s="1"/>
  <c r="D15" i="5" s="1"/>
  <c r="K6" i="1"/>
  <c r="L6" i="1" s="1"/>
  <c r="D12" i="5" s="1"/>
  <c r="F12" i="5"/>
  <c r="K5" i="1"/>
  <c r="L5" i="1" s="1"/>
  <c r="D11" i="5" s="1"/>
  <c r="F11" i="5"/>
  <c r="D16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<sst xmlns="http://schemas.openxmlformats.org/spreadsheetml/2006/main" count="117" uniqueCount="85">
  <si>
    <t>TOVITO TRADER - INVESTOR MASTER DATA</t>
  </si>
  <si>
    <t>Use "Add Investor" button to add new investors. Table auto-expands!</t>
  </si>
  <si>
    <t>Investor ID</t>
  </si>
  <si>
    <t>Investor Name</t>
  </si>
  <si>
    <t>Initial Capital</t>
  </si>
  <si>
    <t>Join Date</t>
  </si>
  <si>
    <t>Status</t>
  </si>
  <si>
    <t>Current Shares</t>
  </si>
  <si>
    <t>Net Investment</t>
  </si>
  <si>
    <t>Share Price</t>
  </si>
  <si>
    <t>Current Value</t>
  </si>
  <si>
    <t>Unrealized Gain</t>
  </si>
  <si>
    <t>Tax Liability (37%)</t>
  </si>
  <si>
    <t>After-Tax Value</t>
  </si>
  <si>
    <t>% of Portfolio</t>
  </si>
  <si>
    <t>20260101-01A</t>
  </si>
  <si>
    <t>Active</t>
  </si>
  <si>
    <t>20260101-02A</t>
  </si>
  <si>
    <t>20260101-03A</t>
  </si>
  <si>
    <t>20260101-04A</t>
  </si>
  <si>
    <t>20260101-05A</t>
  </si>
  <si>
    <t>NOTES:</t>
  </si>
  <si>
    <t>• This is an Excel Table named "InvestorsTable"</t>
  </si>
  <si>
    <t>• Add investors using the "Add Investor" macro button</t>
  </si>
  <si>
    <t>• Table auto-expands when you add rows</t>
  </si>
  <si>
    <t>• Never delete rows - use Status="Inactive" instead</t>
  </si>
  <si>
    <t>• Current Shares (Column F) updated by macros only</t>
  </si>
  <si>
    <t>• Net Investment (Column G) updated by macros only</t>
  </si>
  <si>
    <t>DAILY NAV - TRADIER ACCOUNT ONLY</t>
  </si>
  <si>
    <t>Current NAV:</t>
  </si>
  <si>
    <t>Date</t>
  </si>
  <si>
    <t>NAV per Share</t>
  </si>
  <si>
    <t>Total Portfolio Value</t>
  </si>
  <si>
    <t>Total Shares</t>
  </si>
  <si>
    <t>Daily Change $</t>
  </si>
  <si>
    <t>Daily Change %</t>
  </si>
  <si>
    <t>SIMPLIFIED STRUCTURE:</t>
  </si>
  <si>
    <t>• Tradier account only (no TastyTrade tracking)</t>
  </si>
  <si>
    <t>• Column C = Total portfolio value from Tradier</t>
  </si>
  <si>
    <t>• Column D = Total shares outstanding</t>
  </si>
  <si>
    <t>• NAV per Share = Total Value ÷ Total Shares</t>
  </si>
  <si>
    <t>• Use "Daily Update" macro to add daily values</t>
  </si>
  <si>
    <t>TRANSACTION LOG</t>
  </si>
  <si>
    <t>Complete audit trail of all investor transactions</t>
  </si>
  <si>
    <t>Transaction Type</t>
  </si>
  <si>
    <t>Amount</t>
  </si>
  <si>
    <t>Shares Transacted</t>
  </si>
  <si>
    <t>Notes</t>
  </si>
  <si>
    <t>Initial</t>
  </si>
  <si>
    <t>Initial investment</t>
  </si>
  <si>
    <t>TAX TRACKING SYSTEM</t>
  </si>
  <si>
    <t>Federal Tax Rate:</t>
  </si>
  <si>
    <t>(Change this rate if tax law changes)</t>
  </si>
  <si>
    <t>Event Type</t>
  </si>
  <si>
    <t>Withdrawal Amount</t>
  </si>
  <si>
    <t>Realized Gain</t>
  </si>
  <si>
    <t>Tax Due</t>
  </si>
  <si>
    <t>Net Proceeds</t>
  </si>
  <si>
    <t>Tax Rate Used</t>
  </si>
  <si>
    <t>TAX TRACKING NOTES:</t>
  </si>
  <si>
    <t>• Populated automatically when processing withdrawals with gains</t>
  </si>
  <si>
    <t>• Tax Due = Realized Gain × Tax Rate</t>
  </si>
  <si>
    <t>• Net Proceeds = Withdrawal Amount - Tax Due</t>
  </si>
  <si>
    <t>• Year-end reconciliation compares cumulative tax to actual liability</t>
  </si>
  <si>
    <t>PORTFOLIO SNAPSHOT</t>
  </si>
  <si>
    <t>As of: January 01, 2026</t>
  </si>
  <si>
    <t>Total Portfolio Value:</t>
  </si>
  <si>
    <t>Share Price (NAV):</t>
  </si>
  <si>
    <t>Total Shares:</t>
  </si>
  <si>
    <t>INVESTOR POSITIONS</t>
  </si>
  <si>
    <t>Investor</t>
  </si>
  <si>
    <t>Shares</t>
  </si>
  <si>
    <t>Gross Value</t>
  </si>
  <si>
    <t>% Portfolio</t>
  </si>
  <si>
    <t>Return %</t>
  </si>
  <si>
    <t>TOTAL</t>
  </si>
  <si>
    <t>• Gross Value = Total value before taxes</t>
  </si>
  <si>
    <t>• After-Tax Value = Value after estimated 37% tax on gains</t>
  </si>
  <si>
    <t>• % Portfolio must equal 100.00%</t>
  </si>
  <si>
    <t>• Data auto-updates from Investors table</t>
  </si>
  <si>
    <t>David Lang</t>
  </si>
  <si>
    <t>Elizabeth Lenz</t>
  </si>
  <si>
    <t>Kenneth Lang</t>
  </si>
  <si>
    <t>Rick Anderson</t>
  </si>
  <si>
    <t>Michael McCollum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</si>
</sst>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.00"/>
    <numFmt numFmtId="165" formatCode="yyyy\-mm\-dd"/>
    <numFmt numFmtId="166" formatCode="#,##0.0000"/>
    <numFmt numFmtId="167" formatCode="\$#,##0.0000"/>
  </numFmts>
  <fonts count="10" x14ac:knownFonts="1">
    <font>
      <sz val="11"/>
      <color theme="1"/>
      <name val="Calibri"/>
      <family val="2"/>
      <scheme val="minor"/>
    </font>
    <font>
      <b/>
      <sz val="14"/>
      <name val="Calibri"/>
      <family val="2"/>
    </font>
    <font>
      <i/>
      <sz val="11"/>
      <color rgb="FF0066CC"/>
      <name val="Calibri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2"/>
      <name val="Calibri"/>
      <family val="2"/>
    </font>
    <font>
      <i/>
      <sz val="9"/>
      <name val="Calibri"/>
      <family val="2"/>
    </font>
    <font>
      <b/>
      <sz val="16"/>
      <name val="Calibri"/>
      <family val="2"/>
    </font>
    <font>
      <i/>
      <sz val="11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E699"/>
        <bgColor rgb="FFFFE69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4" fillId="0" borderId="0" xfId="0" applyFont="1"/>
    <xf numFmtId="167" fontId="5" fillId="3" borderId="0" xfId="0" applyNumberFormat="1" applyFont="1" applyFill="1"/>
    <xf numFmtId="0" fontId="3" fillId="2" borderId="0" xfId="0" applyFont="1" applyFill="1" applyAlignment="1">
      <alignment horizontal="center"/>
    </xf>
    <xf numFmtId="9" fontId="5" fillId="3" borderId="0" xfId="0" applyNumberFormat="1" applyFont="1" applyFill="1"/>
    <xf numFmtId="0" fontId="6" fillId="0" borderId="0" xfId="0" applyFont="1"/>
    <xf numFmtId="0" fontId="3" fillId="2" borderId="0" xfId="0" applyFont="1" applyFill="1" applyAlignment="1">
      <alignment horizontal="center" wrapText="1"/>
    </xf>
    <xf numFmtId="0" fontId="7" fillId="0" borderId="0" xfId="0" applyFont="1"/>
    <xf numFmtId="0" fontId="8" fillId="0" borderId="0" xfId="0" applyFont="1"/>
    <xf numFmtId="164" fontId="5" fillId="0" borderId="0" xfId="0" applyNumberFormat="1" applyFont="1"/>
    <xf numFmtId="167" fontId="5" fillId="0" borderId="0" xfId="0" applyNumberFormat="1" applyFont="1"/>
    <xf numFmtId="166" fontId="5" fillId="0" borderId="0" xfId="0" applyNumberFormat="1" applyFont="1"/>
    <xf numFmtId="0" fontId="5" fillId="0" borderId="0" xfId="0" applyFont="1"/>
    <xf numFmtId="166" fontId="4" fillId="0" borderId="0" xfId="0" applyNumberFormat="1" applyFont="1"/>
    <xf numFmtId="164" fontId="4" fillId="0" borderId="0" xfId="0" applyNumberFormat="1" applyFont="1"/>
    <xf numFmtId="10" fontId="4" fillId="0" borderId="0" xfId="0" applyNumberFormat="1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estorsTable" displayName="InvestorsTable" ref="A4:M9">
  <autoFilter ref="A4:M9" xr:uid="{00000000-0009-0000-0100-000001000000}"/>
  <tableColumns count="13">
    <tableColumn id="1" xr3:uid="{00000000-0010-0000-0000-000001000000}" name="Investor ID"/>
    <tableColumn id="2" xr3:uid="{00000000-0010-0000-0000-000002000000}" name="Investor Name"/>
    <tableColumn id="3" xr3:uid="{00000000-0010-0000-0000-000003000000}" name="Initial Capital"/>
    <tableColumn id="4" xr3:uid="{00000000-0010-0000-0000-000004000000}" name="Join Date"/>
    <tableColumn id="5" xr3:uid="{00000000-0010-0000-0000-000005000000}" name="Status"/>
    <tableColumn id="6" xr3:uid="{00000000-0010-0000-0000-000006000000}" name="Current Shares"/>
    <tableColumn id="7" xr3:uid="{00000000-0010-0000-0000-000007000000}" name="Net Investment"/>
    <tableColumn id="8" xr3:uid="{00000000-0010-0000-0000-000008000000}" name="Share Price"/>
    <tableColumn id="9" xr3:uid="{00000000-0010-0000-0000-000009000000}" name="Current Value"/>
    <tableColumn id="10" xr3:uid="{00000000-0010-0000-0000-00000A000000}" name="Unrealized Gain"/>
    <tableColumn id="11" xr3:uid="{00000000-0010-0000-0000-00000B000000}" name="Tax Liability (37%)"/>
    <tableColumn id="12" xr3:uid="{00000000-0010-0000-0000-00000C000000}" name="After-Tax Value"/>
    <tableColumn id="13" xr3:uid="{00000000-0010-0000-0000-00000D000000}" name="% of Portfoli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8"/>
  <sheetViews>
    <sheetView workbookViewId="0">
      <pane ySplit="4" topLeftCell="A5" activePane="bottomLeft" state="frozen"/>
      <selection pane="bottomLeft" activeCell="D22" sqref="D22"/>
    </sheetView>
  </sheetViews>
  <sheetFormatPr defaultRowHeight="14.5" x14ac:dyDescent="0.35"/>
  <cols>
    <col min="1" max="1" width="15" customWidth="1"/>
    <col min="2" max="2" width="20" customWidth="1"/>
    <col min="3" max="3" width="15" customWidth="1"/>
    <col min="4" max="4" width="12" customWidth="1"/>
    <col min="5" max="5" width="10" customWidth="1"/>
    <col min="6" max="7" width="15" customWidth="1"/>
    <col min="8" max="8" width="12" customWidth="1"/>
    <col min="9" max="10" width="15" customWidth="1"/>
    <col min="11" max="11" width="18" customWidth="1"/>
    <col min="12" max="12" width="15" customWidth="1"/>
    <col min="13" max="13" width="12" customWidth="1"/>
  </cols>
  <sheetData>
    <row r="1" spans="1:13" ht="18.5" x14ac:dyDescent="0.45">
      <c r="A1" s="1" t="s">
        <v>0</v>
      </c>
    </row>
    <row r="2" spans="1:13" x14ac:dyDescent="0.35">
      <c r="A2" s="2" t="s">
        <v>1</v>
      </c>
    </row>
    <row r="4" spans="1:13" ht="29" x14ac:dyDescent="0.35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  <c r="K4" s="3" t="s">
        <v>12</v>
      </c>
      <c r="L4" s="3" t="s">
        <v>13</v>
      </c>
      <c r="M4" s="3" t="s">
        <v>14</v>
      </c>
    </row>
    <row r="5" spans="1:13" x14ac:dyDescent="0.35">
      <c r="A5" t="s">
        <v>15</v>
      </c>
      <c r="B5" t="s">
        <v>80</v>
      </c>
      <c r="C5" s="4">
        <v>15000</v>
      </c>
      <c r="D5" s="5">
        <f>DATE(LEFT(A5,4),MID(A5,5,2),MID(A5,7,2))</f>
        <v>46023</v>
      </c>
      <c r="E5" t="s">
        <v>16</v>
      </c>
      <c r="F5" s="6">
        <v>15000</v>
      </c>
      <c r="G5" s="4">
        <v>15000</v>
      </c>
      <c r="H5" s="7">
        <f>'Daily NAV'!B3</f>
        <v>1</v>
      </c>
      <c r="I5" s="4">
        <f>F5*H5</f>
        <v>15000</v>
      </c>
      <c r="J5" s="4">
        <f>MAX(0,I5-G5)</f>
        <v>0</v>
      </c>
      <c r="K5" s="4">
        <f>J5*'Tax Tracker'!$B$2</f>
        <v>0</v>
      </c>
      <c r="L5" s="4">
        <f>I5-K5</f>
        <v>15000</v>
      </c>
      <c r="M5" s="8">
        <f>I5/SUM(I$5:I$9)</f>
        <v>0.88235294117647056</v>
      </c>
    </row>
    <row r="6" spans="1:13" x14ac:dyDescent="0.35">
      <c r="A6" t="s">
        <v>17</v>
      </c>
      <c r="B6" t="s">
        <v>81</v>
      </c>
      <c r="C6" s="4">
        <v>1000</v>
      </c>
      <c r="D6" s="5">
        <f>DATE(LEFT(A6,4),MID(A6,5,2),MID(A6,7,2))</f>
        <v>46023</v>
      </c>
      <c r="E6" t="s">
        <v>16</v>
      </c>
      <c r="F6" s="6">
        <v>1000</v>
      </c>
      <c r="G6" s="4">
        <v>1000</v>
      </c>
      <c r="H6" s="7">
        <f>'Daily NAV'!B3</f>
        <v>1</v>
      </c>
      <c r="I6" s="4">
        <f>F6*H6</f>
        <v>1000</v>
      </c>
      <c r="J6" s="4">
        <f>MAX(0,I6-G6)</f>
        <v>0</v>
      </c>
      <c r="K6" s="4">
        <f>J6*'Tax Tracker'!$B$2</f>
        <v>0</v>
      </c>
      <c r="L6" s="4">
        <f>I6-K6</f>
        <v>1000</v>
      </c>
      <c r="M6" s="8">
        <f>I6/SUM(I$5:I$9)</f>
        <v>5.8823529411764705E-2</v>
      </c>
    </row>
    <row r="7" spans="1:13" x14ac:dyDescent="0.35">
      <c r="A7" t="s">
        <v>18</v>
      </c>
      <c r="B7" t="s">
        <v>82</v>
      </c>
      <c r="C7" s="4">
        <v>1000</v>
      </c>
      <c r="D7" s="5">
        <f>DATE(LEFT(A7,4),MID(A7,5,2),MID(A7,7,2))</f>
        <v>46023</v>
      </c>
      <c r="E7" t="s">
        <v>16</v>
      </c>
      <c r="F7" s="6">
        <v>1000</v>
      </c>
      <c r="G7" s="4">
        <v>1000</v>
      </c>
      <c r="H7" s="7">
        <f>'Daily NAV'!B3</f>
        <v>1</v>
      </c>
      <c r="I7" s="4">
        <f>F7*H7</f>
        <v>1000</v>
      </c>
      <c r="J7" s="4">
        <f>MAX(0,I7-G7)</f>
        <v>0</v>
      </c>
      <c r="K7" s="4">
        <f>J7*'Tax Tracker'!$B$2</f>
        <v>0</v>
      </c>
      <c r="L7" s="4">
        <f>I7-K7</f>
        <v>1000</v>
      </c>
      <c r="M7" s="8">
        <f>I7/SUM(I$5:I$9)</f>
        <v>5.8823529411764705E-2</v>
      </c>
    </row>
    <row r="8" spans="1:13" x14ac:dyDescent="0.35">
      <c r="A8" t="s">
        <v>19</v>
      </c>
      <c r="B8" t="s">
        <v>83</v>
      </c>
      <c r="C8" s="4">
        <v>0</v>
      </c>
      <c r="D8" s="5">
        <f>DATE(LEFT(A8,4),MID(A8,5,2),MID(A8,7,2))</f>
        <v>46023</v>
      </c>
      <c r="E8" t="s">
        <v>16</v>
      </c>
      <c r="F8" s="6">
        <v>0</v>
      </c>
      <c r="G8" s="4">
        <v>0</v>
      </c>
      <c r="H8" s="7">
        <f>'Daily NAV'!B3</f>
        <v>1</v>
      </c>
      <c r="I8" s="4">
        <f>F8*H8</f>
        <v>0</v>
      </c>
      <c r="J8" s="4">
        <f>MAX(0,I8-G8)</f>
        <v>0</v>
      </c>
      <c r="K8" s="4">
        <f>J8*'Tax Tracker'!$B$2</f>
        <v>0</v>
      </c>
      <c r="L8" s="4">
        <f>I8-K8</f>
        <v>0</v>
      </c>
      <c r="M8" s="8">
        <f>I8/SUM(I$5:I$9)</f>
        <v>0</v>
      </c>
    </row>
    <row r="9" spans="1:13" x14ac:dyDescent="0.35">
      <c r="A9" t="s">
        <v>20</v>
      </c>
      <c r="B9" t="s">
        <v>84</v>
      </c>
      <c r="C9" s="4">
        <v>0</v>
      </c>
      <c r="D9" s="5">
        <f>DATE(LEFT(A9,4),MID(A9,5,2),MID(A9,7,2))</f>
        <v>46023</v>
      </c>
      <c r="E9" t="s">
        <v>16</v>
      </c>
      <c r="F9" s="6">
        <v>0</v>
      </c>
      <c r="G9" s="4">
        <v>0</v>
      </c>
      <c r="H9" s="7">
        <f>'Daily NAV'!B3</f>
        <v>1</v>
      </c>
      <c r="I9" s="4">
        <f>F9*H9</f>
        <v>0</v>
      </c>
      <c r="J9" s="4">
        <f>MAX(0,I9-G9)</f>
        <v>0</v>
      </c>
      <c r="K9" s="4">
        <f>J9*'Tax Tracker'!$B$2</f>
        <v>0</v>
      </c>
      <c r="L9" s="4">
        <f>I9-K9</f>
        <v>0</v>
      </c>
      <c r="M9" s="8">
        <f>I9/SUM(I$5:I$9)</f>
        <v>0</v>
      </c>
    </row>
    <row r="12" spans="1:13" x14ac:dyDescent="0.35">
      <c r="A12" s="9" t="s">
        <v>21</v>
      </c>
    </row>
    <row r="13" spans="1:13" x14ac:dyDescent="0.35">
      <c r="A13" t="s">
        <v>22</v>
      </c>
    </row>
    <row r="14" spans="1:13" x14ac:dyDescent="0.35">
      <c r="A14" t="s">
        <v>23</v>
      </c>
    </row>
    <row r="15" spans="1:13" x14ac:dyDescent="0.35">
      <c r="A15" t="s">
        <v>24</v>
      </c>
    </row>
    <row r="16" spans="1:13" x14ac:dyDescent="0.35">
      <c r="A16" t="s">
        <v>25</v>
      </c>
    </row>
    <row r="17" spans="1:1" x14ac:dyDescent="0.35">
      <c r="A17" t="s">
        <v>26</v>
      </c>
    </row>
    <row r="18" spans="1:1" x14ac:dyDescent="0.35">
      <c r="A18" t="s">
        <v>27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tabSelected="1" workbookViewId="0">
      <pane ySplit="5" topLeftCell="A6" activePane="bottomLeft" state="frozen"/>
      <selection pane="bottomLeft" activeCell="A3" sqref="A3"/>
    </sheetView>
  </sheetViews>
  <sheetFormatPr defaultRowHeight="14.5" x14ac:dyDescent="0.35"/>
  <cols>
    <col min="1" max="1" width="41.90625" bestFit="1" customWidth="1"/>
    <col min="2" max="2" width="15" customWidth="1"/>
    <col min="3" max="3" width="20" customWidth="1"/>
    <col min="4" max="6" width="15" customWidth="1"/>
  </cols>
  <sheetData>
    <row r="1" spans="1:9" ht="18.5" x14ac:dyDescent="0.45">
      <c r="A1" s="1" t="s">
        <v>28</v>
      </c>
      <c r="I1" s="9" t="s">
        <v>36</v>
      </c>
    </row>
    <row r="2" spans="1:9" x14ac:dyDescent="0.35">
      <c r="A2" s="24" t="s">
        <v>66</v>
      </c>
      <c r="B2" cm="1">
        <f t="array" ref="B2">LOOKUP(2,1/(C6:C1000&lt;&gt;""),C6:C1000)</f>
        <v>17000</v>
      </c>
      <c r="I2" t="s">
        <v>37</v>
      </c>
    </row>
    <row r="3" spans="1:9" ht="15.5" x14ac:dyDescent="0.35">
      <c r="A3" s="9" t="s">
        <v>29</v>
      </c>
      <c r="B3" s="10">
        <f>IF(D3=0,1,C3/D3)</f>
        <v>1</v>
      </c>
      <c r="I3" t="s">
        <v>38</v>
      </c>
    </row>
    <row r="4" spans="1:9" x14ac:dyDescent="0.35">
      <c r="I4" t="s">
        <v>39</v>
      </c>
    </row>
    <row r="5" spans="1:9" x14ac:dyDescent="0.35">
      <c r="A5" s="11" t="s">
        <v>30</v>
      </c>
      <c r="B5" s="11" t="s">
        <v>31</v>
      </c>
      <c r="C5" s="11" t="s">
        <v>32</v>
      </c>
      <c r="D5" s="11" t="s">
        <v>33</v>
      </c>
      <c r="E5" s="11" t="s">
        <v>34</v>
      </c>
      <c r="F5" s="11" t="s">
        <v>35</v>
      </c>
      <c r="I5" t="s">
        <v>40</v>
      </c>
    </row>
    <row r="6" spans="1:9" x14ac:dyDescent="0.35">
      <c r="A6" s="5">
        <v>46023</v>
      </c>
      <c r="B6" s="7">
        <v>1</v>
      </c>
      <c r="C6" s="4">
        <v>17000</v>
      </c>
      <c r="D6" s="6">
        <v>17000</v>
      </c>
      <c r="E6" s="4">
        <v>0</v>
      </c>
      <c r="F6" s="8">
        <v>0</v>
      </c>
      <c r="I6" t="s">
        <v>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9"/>
  <sheetViews>
    <sheetView workbookViewId="0">
      <pane ySplit="4" topLeftCell="A5" activePane="bottomLeft" state="frozen"/>
      <selection pane="bottomLeft" activeCell="G11" sqref="G11"/>
    </sheetView>
  </sheetViews>
  <sheetFormatPr defaultRowHeight="14.5" x14ac:dyDescent="0.35"/>
  <cols>
    <col min="1" max="1" width="12" customWidth="1"/>
    <col min="2" max="2" width="15" customWidth="1"/>
    <col min="3" max="3" width="20" customWidth="1"/>
    <col min="4" max="5" width="15" customWidth="1"/>
    <col min="6" max="6" width="12" customWidth="1"/>
    <col min="7" max="7" width="15" customWidth="1"/>
    <col min="8" max="8" width="40" customWidth="1"/>
  </cols>
  <sheetData>
    <row r="1" spans="1:8" ht="18.5" x14ac:dyDescent="0.45">
      <c r="A1" s="1" t="s">
        <v>42</v>
      </c>
    </row>
    <row r="2" spans="1:8" x14ac:dyDescent="0.35">
      <c r="A2" s="2" t="s">
        <v>43</v>
      </c>
    </row>
    <row r="4" spans="1:8" x14ac:dyDescent="0.35">
      <c r="A4" s="11" t="s">
        <v>30</v>
      </c>
      <c r="B4" s="11" t="s">
        <v>2</v>
      </c>
      <c r="C4" s="11" t="s">
        <v>3</v>
      </c>
      <c r="D4" s="11" t="s">
        <v>44</v>
      </c>
      <c r="E4" s="11" t="s">
        <v>45</v>
      </c>
      <c r="F4" s="11" t="s">
        <v>9</v>
      </c>
      <c r="G4" s="11" t="s">
        <v>46</v>
      </c>
      <c r="H4" s="11" t="s">
        <v>47</v>
      </c>
    </row>
    <row r="5" spans="1:8" x14ac:dyDescent="0.35">
      <c r="A5" s="5">
        <v>46023</v>
      </c>
      <c r="B5" t="s">
        <v>15</v>
      </c>
      <c r="C5" t="s">
        <v>80</v>
      </c>
      <c r="D5" t="s">
        <v>48</v>
      </c>
      <c r="E5" s="4">
        <v>15000</v>
      </c>
      <c r="F5" s="7">
        <v>1</v>
      </c>
      <c r="G5" s="6">
        <f>E5/F5</f>
        <v>15000</v>
      </c>
      <c r="H5" t="s">
        <v>49</v>
      </c>
    </row>
    <row r="6" spans="1:8" x14ac:dyDescent="0.35">
      <c r="A6" s="5">
        <v>46023</v>
      </c>
      <c r="B6" t="s">
        <v>17</v>
      </c>
      <c r="C6" t="s">
        <v>81</v>
      </c>
      <c r="D6" t="s">
        <v>48</v>
      </c>
      <c r="E6" s="4">
        <v>1000</v>
      </c>
      <c r="F6" s="7">
        <v>1</v>
      </c>
      <c r="G6" s="6">
        <f t="shared" ref="G6:G9" si="0">E6/F6</f>
        <v>1000</v>
      </c>
      <c r="H6" t="s">
        <v>49</v>
      </c>
    </row>
    <row r="7" spans="1:8" x14ac:dyDescent="0.35">
      <c r="A7" s="5">
        <v>46023</v>
      </c>
      <c r="B7" t="s">
        <v>18</v>
      </c>
      <c r="C7" t="s">
        <v>82</v>
      </c>
      <c r="D7" t="s">
        <v>48</v>
      </c>
      <c r="E7" s="4">
        <v>1000</v>
      </c>
      <c r="F7" s="7">
        <v>1</v>
      </c>
      <c r="G7" s="6">
        <f t="shared" si="0"/>
        <v>1000</v>
      </c>
      <c r="H7" t="s">
        <v>49</v>
      </c>
    </row>
    <row r="8" spans="1:8" x14ac:dyDescent="0.35">
      <c r="A8" s="5">
        <v>46023</v>
      </c>
      <c r="B8" t="s">
        <v>19</v>
      </c>
      <c r="C8" t="s">
        <v>83</v>
      </c>
      <c r="D8" t="s">
        <v>48</v>
      </c>
      <c r="E8" s="4">
        <v>0</v>
      </c>
      <c r="F8" s="7">
        <v>1</v>
      </c>
      <c r="G8" s="6">
        <f t="shared" si="0"/>
        <v>0</v>
      </c>
      <c r="H8" t="s">
        <v>49</v>
      </c>
    </row>
    <row r="9" spans="1:8" x14ac:dyDescent="0.35">
      <c r="A9" s="5">
        <v>46023</v>
      </c>
      <c r="B9" t="s">
        <v>20</v>
      </c>
      <c r="C9" t="s">
        <v>84</v>
      </c>
      <c r="D9" t="s">
        <v>48</v>
      </c>
      <c r="E9" s="4">
        <v>0</v>
      </c>
      <c r="F9" s="7">
        <v>1</v>
      </c>
      <c r="G9" s="6">
        <f t="shared" si="0"/>
        <v>0</v>
      </c>
      <c r="H9" t="s">
        <v>49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"/>
  <sheetViews>
    <sheetView workbookViewId="0">
      <pane ySplit="7" topLeftCell="A8" activePane="bottomLeft" state="frozen"/>
      <selection pane="bottomLeft" activeCell="D18" sqref="D18"/>
    </sheetView>
  </sheetViews>
  <sheetFormatPr defaultRowHeight="14.5" x14ac:dyDescent="0.35"/>
  <cols>
    <col min="1" max="1" width="26" bestFit="1" customWidth="1"/>
    <col min="2" max="2" width="15" customWidth="1"/>
    <col min="3" max="3" width="20" customWidth="1"/>
    <col min="4" max="4" width="25" customWidth="1"/>
    <col min="5" max="5" width="18" customWidth="1"/>
    <col min="6" max="8" width="15" customWidth="1"/>
    <col min="9" max="9" width="12" customWidth="1"/>
  </cols>
  <sheetData>
    <row r="1" spans="1:11" ht="18.5" x14ac:dyDescent="0.45">
      <c r="A1" s="1" t="s">
        <v>50</v>
      </c>
      <c r="K1" s="9" t="s">
        <v>59</v>
      </c>
    </row>
    <row r="2" spans="1:11" x14ac:dyDescent="0.35">
      <c r="K2" t="s">
        <v>60</v>
      </c>
    </row>
    <row r="3" spans="1:11" ht="15.5" x14ac:dyDescent="0.35">
      <c r="A3" s="9" t="s">
        <v>51</v>
      </c>
      <c r="B3" s="12">
        <v>0.37</v>
      </c>
      <c r="K3" t="s">
        <v>61</v>
      </c>
    </row>
    <row r="4" spans="1:11" x14ac:dyDescent="0.35">
      <c r="A4" s="13" t="s">
        <v>52</v>
      </c>
      <c r="K4" t="s">
        <v>62</v>
      </c>
    </row>
    <row r="5" spans="1:11" x14ac:dyDescent="0.35">
      <c r="K5" t="s">
        <v>63</v>
      </c>
    </row>
    <row r="7" spans="1:11" ht="29" x14ac:dyDescent="0.35">
      <c r="A7" s="14" t="s">
        <v>30</v>
      </c>
      <c r="B7" s="14" t="s">
        <v>2</v>
      </c>
      <c r="C7" s="14" t="s">
        <v>3</v>
      </c>
      <c r="D7" s="14" t="s">
        <v>53</v>
      </c>
      <c r="E7" s="14" t="s">
        <v>54</v>
      </c>
      <c r="F7" s="14" t="s">
        <v>55</v>
      </c>
      <c r="G7" s="14" t="s">
        <v>56</v>
      </c>
      <c r="H7" s="14" t="s">
        <v>57</v>
      </c>
      <c r="I7" s="14" t="s">
        <v>58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6"/>
  <sheetViews>
    <sheetView workbookViewId="0">
      <selection activeCell="G19" sqref="G19"/>
    </sheetView>
  </sheetViews>
  <sheetFormatPr defaultRowHeight="14.5" x14ac:dyDescent="0.35"/>
  <cols>
    <col min="1" max="1" width="20" customWidth="1"/>
    <col min="2" max="3" width="15" customWidth="1"/>
    <col min="4" max="4" width="18" customWidth="1"/>
    <col min="5" max="6" width="12" customWidth="1"/>
    <col min="7" max="7" width="50" bestFit="1" customWidth="1"/>
  </cols>
  <sheetData>
    <row r="1" spans="1:7" ht="21" x14ac:dyDescent="0.5">
      <c r="A1" s="15" t="s">
        <v>64</v>
      </c>
      <c r="G1" s="9" t="s">
        <v>21</v>
      </c>
    </row>
    <row r="2" spans="1:7" x14ac:dyDescent="0.35">
      <c r="A2" s="16" t="s">
        <v>65</v>
      </c>
      <c r="G2" t="s">
        <v>76</v>
      </c>
    </row>
    <row r="3" spans="1:7" x14ac:dyDescent="0.35">
      <c r="G3" t="s">
        <v>77</v>
      </c>
    </row>
    <row r="4" spans="1:7" ht="15.5" x14ac:dyDescent="0.35">
      <c r="A4" s="9" t="s">
        <v>66</v>
      </c>
      <c r="B4" s="17">
        <f>'Daily NAV'!C3</f>
        <v>0</v>
      </c>
      <c r="G4" t="s">
        <v>78</v>
      </c>
    </row>
    <row r="5" spans="1:7" ht="15.5" x14ac:dyDescent="0.35">
      <c r="A5" s="9" t="s">
        <v>67</v>
      </c>
      <c r="B5" s="18">
        <f>'Daily NAV'!B3</f>
        <v>1</v>
      </c>
      <c r="G5" t="s">
        <v>79</v>
      </c>
    </row>
    <row r="6" spans="1:7" ht="15.5" x14ac:dyDescent="0.35">
      <c r="A6" s="9" t="s">
        <v>68</v>
      </c>
      <c r="B6" s="19">
        <f>'Daily NAV'!D3</f>
        <v>0</v>
      </c>
    </row>
    <row r="9" spans="1:7" ht="15.5" x14ac:dyDescent="0.35">
      <c r="A9" s="20" t="s">
        <v>69</v>
      </c>
    </row>
    <row r="10" spans="1:7" x14ac:dyDescent="0.35">
      <c r="A10" s="11" t="s">
        <v>70</v>
      </c>
      <c r="B10" s="11" t="s">
        <v>71</v>
      </c>
      <c r="C10" s="11" t="s">
        <v>72</v>
      </c>
      <c r="D10" s="11" t="s">
        <v>13</v>
      </c>
      <c r="E10" s="11" t="s">
        <v>73</v>
      </c>
      <c r="F10" s="11" t="s">
        <v>74</v>
      </c>
    </row>
    <row r="11" spans="1:7" x14ac:dyDescent="0.35">
      <c r="A11" t="str">
        <f>Investors!B5</f>
        <v>David Lang</v>
      </c>
      <c r="B11" s="6">
        <f>Investors!F5</f>
        <v>15000</v>
      </c>
      <c r="C11" s="4">
        <f>Investors!I5</f>
        <v>15000</v>
      </c>
      <c r="D11" s="4">
        <f>Investors!L5</f>
        <v>15000</v>
      </c>
      <c r="E11" s="8">
        <f>Investors!M5</f>
        <v>0.88235294117647056</v>
      </c>
      <c r="F11" s="8">
        <f>Investors!J5/Investors!G5</f>
        <v>0</v>
      </c>
    </row>
    <row r="12" spans="1:7" x14ac:dyDescent="0.35">
      <c r="A12" t="str">
        <f>Investors!B6</f>
        <v>Elizabeth Lenz</v>
      </c>
      <c r="B12" s="6">
        <f>Investors!F6</f>
        <v>1000</v>
      </c>
      <c r="C12" s="4">
        <f>Investors!I6</f>
        <v>1000</v>
      </c>
      <c r="D12" s="4">
        <f>Investors!L6</f>
        <v>1000</v>
      </c>
      <c r="E12" s="8">
        <f>Investors!M6</f>
        <v>5.8823529411764705E-2</v>
      </c>
      <c r="F12" s="8">
        <f>Investors!J6/Investors!G6</f>
        <v>0</v>
      </c>
    </row>
    <row r="13" spans="1:7" x14ac:dyDescent="0.35">
      <c r="A13" t="str">
        <f>Investors!B7</f>
        <v>Kenneth Lang</v>
      </c>
      <c r="B13" s="6">
        <f>Investors!F7</f>
        <v>1000</v>
      </c>
      <c r="C13" s="4">
        <f>Investors!I7</f>
        <v>1000</v>
      </c>
      <c r="D13" s="4">
        <f>Investors!L7</f>
        <v>1000</v>
      </c>
      <c r="E13" s="8">
        <f>Investors!M7</f>
        <v>5.8823529411764705E-2</v>
      </c>
      <c r="F13" s="8">
        <f>Investors!J7/Investors!G7</f>
        <v>0</v>
      </c>
    </row>
    <row r="14" spans="1:7" x14ac:dyDescent="0.35">
      <c r="A14" t="str">
        <f>Investors!B8</f>
        <v>Rick Anderson</v>
      </c>
      <c r="B14" s="6">
        <f>Investors!F8</f>
        <v>0</v>
      </c>
      <c r="C14" s="4">
        <f>Investors!I8</f>
        <v>0</v>
      </c>
      <c r="D14" s="4">
        <f>Investors!L8</f>
        <v>0</v>
      </c>
      <c r="E14" s="8">
        <f>Investors!M8</f>
        <v>0</v>
      </c>
      <c r="F14" s="8" t="e">
        <f>Investors!J8/Investors!G8</f>
        <v>#DIV/0!</v>
      </c>
    </row>
    <row r="15" spans="1:7" x14ac:dyDescent="0.35">
      <c r="A15" t="str">
        <f>Investors!B9</f>
        <v>Michael McCollum</v>
      </c>
      <c r="B15" s="6">
        <f>Investors!F9</f>
        <v>0</v>
      </c>
      <c r="C15" s="4">
        <f>Investors!I9</f>
        <v>0</v>
      </c>
      <c r="D15" s="4">
        <f>Investors!L9</f>
        <v>0</v>
      </c>
      <c r="E15" s="8">
        <f>Investors!M9</f>
        <v>0</v>
      </c>
      <c r="F15" s="8" t="e">
        <f>Investors!J9/Investors!G9</f>
        <v>#DIV/0!</v>
      </c>
    </row>
    <row r="16" spans="1:7" x14ac:dyDescent="0.35">
      <c r="A16" s="9" t="s">
        <v>75</v>
      </c>
      <c r="B16" s="21">
        <f>SUM(B11:B15)</f>
        <v>17000</v>
      </c>
      <c r="C16" s="22">
        <f>SUM(C11:C15)</f>
        <v>17000</v>
      </c>
      <c r="D16" s="22">
        <f>SUM(D11:D15)</f>
        <v>17000</v>
      </c>
      <c r="E16" s="23">
        <f>SUM(E11:E15)</f>
        <v>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Investors</vt:lpstr>
      <vt:lpstr>Daily NAV</vt:lpstr>
      <vt:lpstr>Transactions</vt:lpstr>
      <vt:lpstr>Tax Tracker</vt:lpstr>
      <vt:lpstr>Portfolio Snapshot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Lang</cp:lastModifiedBy>
  <dcterms:created xsi:type="dcterms:W3CDTF">2026-01-01T03:09:46Z</dcterms:created>
  <dcterms:modified xsi:type="dcterms:W3CDTF">2026-01-01T15:57:43Z</dcterms:modified>
</cp:coreProperties>
</file>